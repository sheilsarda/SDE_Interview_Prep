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sheil\OneDrive - PennO365\Documents\Robotics\SDE_Interview_Prep\Navigation\"/>
    </mc:Choice>
  </mc:AlternateContent>
  <xr:revisionPtr revIDLastSave="0" documentId="13_ncr:1_{C58A7582-F769-43C1-86F8-35290C6EB902}" xr6:coauthVersionLast="47" xr6:coauthVersionMax="47" xr10:uidLastSave="{00000000-0000-0000-0000-000000000000}"/>
  <bookViews>
    <workbookView xWindow="810" yWindow="-120" windowWidth="28110" windowHeight="16440" firstSheet="3" activeTab="5" xr2:uid="{144D234B-9EDF-4C60-BA78-862FC813572B}"/>
  </bookViews>
  <sheets>
    <sheet name="test_input_1" sheetId="1" r:id="rId1"/>
    <sheet name="test_input_2" sheetId="2" r:id="rId2"/>
    <sheet name="test_input_3" sheetId="3" r:id="rId3"/>
    <sheet name="test_input_4" sheetId="5" r:id="rId4"/>
    <sheet name="test_input_5" sheetId="6" r:id="rId5"/>
    <sheet name="Time_Complexity" sheetId="4" r:id="rId6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 iterateCount="25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G7" i="4"/>
  <c r="G8" i="4"/>
  <c r="G9" i="4"/>
  <c r="G10" i="4"/>
  <c r="E6" i="4"/>
  <c r="E7" i="4"/>
  <c r="E8" i="4"/>
  <c r="E9" i="4"/>
  <c r="E10" i="4"/>
  <c r="D12" i="4"/>
  <c r="G11" i="4"/>
  <c r="E11" i="4"/>
  <c r="G5" i="4"/>
  <c r="G12" i="4"/>
  <c r="G4" i="4"/>
  <c r="E5" i="4"/>
  <c r="E12" i="4"/>
  <c r="E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F3B6C611-84C5-4C42-9663-DF8E2631DEBA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653FFF17-DD36-44EE-9FF4-30876D3D9EC6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ED1C3623-7DEF-420E-9D8C-9088F4D61617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  <comment ref="K8" authorId="0" shapeId="0" xr:uid="{97779289-CEB6-4B9B-90B4-E63A885AF13F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4</t>
        </r>
      </text>
    </comment>
    <comment ref="P9" authorId="0" shapeId="0" xr:uid="{94DBFA11-934F-4F87-AA9B-FF4A292868D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253D84D8-E7C8-4710-BCB3-1512EAF5B208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AFBF49BE-F6F7-4BAB-8C5F-9111E19B658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A00C4BC9-7B9A-4F84-B4AC-C5702122669B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  <comment ref="K8" authorId="0" shapeId="0" xr:uid="{07B942E2-BB45-42A7-9E77-392019E037C3}">
      <text>
        <r>
          <rPr>
            <b/>
            <sz val="9"/>
            <color indexed="81"/>
            <rFont val="Tahoma"/>
            <family val="2"/>
          </rPr>
          <t>sheil:
4</t>
        </r>
      </text>
    </comment>
    <comment ref="P9" authorId="0" shapeId="0" xr:uid="{6A673BB5-E80A-42F1-BB3C-F151B566F971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</commentList>
</comments>
</file>

<file path=xl/sharedStrings.xml><?xml version="1.0" encoding="utf-8"?>
<sst xmlns="http://schemas.openxmlformats.org/spreadsheetml/2006/main" count="580" uniqueCount="38">
  <si>
    <t>#</t>
  </si>
  <si>
    <t>.</t>
  </si>
  <si>
    <t>@</t>
  </si>
  <si>
    <t>x</t>
  </si>
  <si>
    <t>1,6</t>
  </si>
  <si>
    <t>1,12</t>
  </si>
  <si>
    <t>6,14</t>
  </si>
  <si>
    <t>5,9</t>
  </si>
  <si>
    <t>5,1</t>
  </si>
  <si>
    <t>Min path length found:  50</t>
  </si>
  <si>
    <t>Min Path permuation:  ((1, 6), (1, 12), (6, 14), (5, 9), (5, 1))</t>
  </si>
  <si>
    <t>Min path length found:  39</t>
  </si>
  <si>
    <t>[[ 1  1  1  1  1  1  1  1  1  3  3  3  3  3  3  3  3  3]</t>
  </si>
  <si>
    <t xml:space="preserve"> [14 13 12 11 10  9  8  7  6  6  7  8  9 10 11 12 13 14]]</t>
  </si>
  <si>
    <t>test_input_1</t>
  </si>
  <si>
    <t>test_input_2</t>
  </si>
  <si>
    <t>test_input_3</t>
  </si>
  <si>
    <t># of Avocados</t>
  </si>
  <si>
    <t>Brute Force</t>
  </si>
  <si>
    <t>test_input_4</t>
  </si>
  <si>
    <t>2^n</t>
  </si>
  <si>
    <t>n!</t>
  </si>
  <si>
    <t>[[ 1  1  1  1  1  1  1  1  1  3  3  3  3  3  3  3  3  3  4]</t>
  </si>
  <si>
    <t xml:space="preserve"> [14 13 12 11 10  9  8  7  6  6  7  8  9 10 11 12 13 14 13]]</t>
  </si>
  <si>
    <t>---------------------</t>
  </si>
  <si>
    <t>Path length:  41</t>
  </si>
  <si>
    <t>real    2m24.563s</t>
  </si>
  <si>
    <t>w/ print statements</t>
  </si>
  <si>
    <t>Avocados</t>
  </si>
  <si>
    <t>w/o print statements</t>
  </si>
  <si>
    <t>33.843 seconds</t>
  </si>
  <si>
    <t>test_input_5</t>
  </si>
  <si>
    <t>real    2m53.068s</t>
  </si>
  <si>
    <t>[[ 1  1  1  1  1  1  1  1  1  3  3  3  3  3  3  3  3  3  5  5  5]</t>
  </si>
  <si>
    <t xml:space="preserve"> [14 13 12 11 10  9  8  7  6  6  7  8  9 10 11 12 13 14  4  3  2]]</t>
  </si>
  <si>
    <t>Impl</t>
  </si>
  <si>
    <t>Test Case</t>
  </si>
  <si>
    <t>DP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</si>
</sst>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#,##0_);@_)"/>
    <numFmt numFmtId="166" formatCode="0.E+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FFFF"/>
      <name val="Calibri"/>
      <family val="2"/>
      <scheme val="minor"/>
    </font>
    <font>
      <b/>
      <u val="singleAccounting"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62C53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Continuous"/>
    </xf>
    <xf numFmtId="0" fontId="6" fillId="3" borderId="0" xfId="0" applyFont="1" applyFill="1"/>
    <xf numFmtId="0" fontId="6" fillId="3" borderId="0" xfId="0" applyFont="1" applyFill="1" applyAlignment="1">
      <alignment horizontal="center"/>
    </xf>
    <xf numFmtId="0" fontId="6" fillId="0" borderId="0" xfId="0" applyFont="1"/>
    <xf numFmtId="11" fontId="0" fillId="0" borderId="0" xfId="0" applyNumberFormat="1"/>
    <xf numFmtId="0" fontId="0" fillId="0" borderId="0" xfId="0" quotePrefix="1" applyAlignment="1">
      <alignment horizontal="center" vertical="top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Continuous"/>
    </xf>
    <xf numFmtId="166" fontId="0" fillId="0" borderId="0" xfId="0" applyNumberFormat="1"/>
  </cellXfs>
  <cellStyles count="1">
    <cellStyle name="Normal" xfId="0" builtinId="0"/>
  </cellStyles>
  <dxfs count="10"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4449781245473"/>
          <c:y val="0.17328766116886454"/>
          <c:w val="0.72807881818622056"/>
          <c:h val="0.63809940124159714"/>
        </c:manualLayout>
      </c:layout>
      <c:scatterChart>
        <c:scatterStyle val="lineMarker"/>
        <c:varyColors val="0"/>
        <c:ser>
          <c:idx val="0"/>
          <c:order val="0"/>
          <c:tx>
            <c:v>Dynamic Programming Soln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Time_Complexity!$C$4:$C$12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18</c:v>
                </c:pt>
                <c:pt idx="7">
                  <c:v>19</c:v>
                </c:pt>
                <c:pt idx="8">
                  <c:v>21</c:v>
                </c:pt>
              </c:numCache>
            </c:numRef>
          </c:xVal>
          <c:yVal>
            <c:numRef>
              <c:f>Time_Complexity!$D$4:$D$12</c:f>
              <c:numCache>
                <c:formatCode>#,##0_);\(#,##0\);#,##0_);@_)</c:formatCode>
                <c:ptCount val="9"/>
                <c:pt idx="0">
                  <c:v>0.13</c:v>
                </c:pt>
                <c:pt idx="1">
                  <c:v>1.1339999999999999</c:v>
                </c:pt>
                <c:pt idx="6">
                  <c:v>14.199</c:v>
                </c:pt>
                <c:pt idx="7">
                  <c:v>33.843000000000004</c:v>
                </c:pt>
                <c:pt idx="8">
                  <c:v>173.06799999999998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95-4D98-BA10-7602A7CF0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720783"/>
        <c:axId val="231722223"/>
      </c:scatterChart>
      <c:scatterChart>
        <c:scatterStyle val="lineMarker"/>
        <c:varyColors val="0"/>
        <c:ser>
          <c:idx val="1"/>
          <c:order val="1"/>
          <c:tx>
            <c:v>Exponential Series (2^n)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Time_Complexity!$C$4:$C$12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12</c:v>
                </c:pt>
                <c:pt idx="5">
                  <c:v>16</c:v>
                </c:pt>
                <c:pt idx="6">
                  <c:v>18</c:v>
                </c:pt>
                <c:pt idx="7">
                  <c:v>19</c:v>
                </c:pt>
                <c:pt idx="8">
                  <c:v>21</c:v>
                </c:pt>
              </c:numCache>
            </c:numRef>
          </c:xVal>
          <c:yVal>
            <c:numRef>
              <c:f>Time_Complexity!$E$4:$E$12</c:f>
              <c:numCache>
                <c:formatCode>0.E+00</c:formatCode>
                <c:ptCount val="9"/>
                <c:pt idx="0">
                  <c:v>32</c:v>
                </c:pt>
                <c:pt idx="1">
                  <c:v>32</c:v>
                </c:pt>
                <c:pt idx="2">
                  <c:v>256</c:v>
                </c:pt>
                <c:pt idx="3">
                  <c:v>1024</c:v>
                </c:pt>
                <c:pt idx="4">
                  <c:v>4096</c:v>
                </c:pt>
                <c:pt idx="5">
                  <c:v>65536</c:v>
                </c:pt>
                <c:pt idx="6">
                  <c:v>262144</c:v>
                </c:pt>
                <c:pt idx="7">
                  <c:v>524288</c:v>
                </c:pt>
                <c:pt idx="8">
                  <c:v>2097152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795-4D98-BA10-7602A7CF0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3807631"/>
        <c:axId val="773804751"/>
      </c:scatterChart>
      <c:valAx>
        <c:axId val="231720783"/>
        <c:scaling>
          <c:orientation val="minMax"/>
          <c:max val="2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# of Avocados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1722223"/>
        <c:crosses val="autoZero"/>
        <c:crossBetween val="midCat"/>
        <c:majorUnit val="5"/>
      </c:valAx>
      <c:valAx>
        <c:axId val="23172222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00"/>
                  <a:t>DP</a:t>
                </a:r>
                <a:r>
                  <a:rPr lang="en-US" sz="1000" baseline="0"/>
                  <a:t> Solution Runtime (seconds)</a:t>
                </a:r>
                <a:endParaRPr lang="en-US" sz="1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\(#,##0\);#,##0_);@_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31720783"/>
        <c:crosses val="autoZero"/>
        <c:crossBetween val="midCat"/>
        <c:majorUnit val="50"/>
      </c:valAx>
      <c:valAx>
        <c:axId val="773804751"/>
        <c:scaling>
          <c:orientation val="minMax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800"/>
                  <a:t>y=2^n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3807631"/>
        <c:crosses val="max"/>
        <c:crossBetween val="midCat"/>
      </c:valAx>
      <c:valAx>
        <c:axId val="773807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3804751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5.0000149179501276E-2"/>
          <c:y val="2.7991036990779854E-2"/>
          <c:w val="0.89999993114792254"/>
          <c:h val="8.475223156889394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350369</xdr:colOff>
      <xdr:row>2</xdr:row>
      <xdr:rowOff>371157</xdr:rowOff>
    </xdr:from>
    <xdr:to>
      <xdr:col>8</xdr:col>
      <xdr:colOff>49684</xdr:colOff>
      <xdr:row>4</xdr:row>
      <xdr:rowOff>102072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4DABCC1-91CA-0727-3115-761D5135237D}"/>
            </a:ext>
          </a:extLst>
        </xdr:cNvPr>
        <xdr:cNvSpPr txBox="1"/>
      </xdr:nvSpPr>
      <xdr:spPr>
        <a:xfrm>
          <a:off x="3219485" y="742864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(1,6)</a:t>
          </a:r>
        </a:p>
        <a:p>
          <a:pPr algn="ctr"/>
          <a:r>
            <a:rPr lang="en-US" sz="1100"/>
            <a:t>1</a:t>
          </a:r>
        </a:p>
      </xdr:txBody>
    </xdr:sp>
    <xdr:clientData/>
  </xdr:twoCellAnchor>
  <xdr:twoCellAnchor>
    <xdr:from>
      <xdr:col>12</xdr:col>
      <xdr:colOff>409842</xdr:colOff>
      <xdr:row>2</xdr:row>
      <xdr:rowOff>372552</xdr:rowOff>
    </xdr:from>
    <xdr:to>
      <xdr:col>14</xdr:col>
      <xdr:colOff>109157</xdr:colOff>
      <xdr:row>4</xdr:row>
      <xdr:rowOff>103467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CF8FE6C-5E62-D4F9-277A-9D2D355189B7}"/>
            </a:ext>
          </a:extLst>
        </xdr:cNvPr>
        <xdr:cNvSpPr txBox="1"/>
      </xdr:nvSpPr>
      <xdr:spPr>
        <a:xfrm>
          <a:off x="5997068" y="744259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(1,12)</a:t>
          </a:r>
        </a:p>
        <a:p>
          <a:pPr algn="ctr"/>
          <a:r>
            <a:rPr lang="en-US" sz="1100"/>
            <a:t>2</a:t>
          </a:r>
        </a:p>
      </xdr:txBody>
    </xdr:sp>
    <xdr:clientData/>
  </xdr:twoCellAnchor>
  <xdr:twoCellAnchor>
    <xdr:from>
      <xdr:col>9</xdr:col>
      <xdr:colOff>376389</xdr:colOff>
      <xdr:row>7</xdr:row>
      <xdr:rowOff>2237</xdr:rowOff>
    </xdr:from>
    <xdr:to>
      <xdr:col>11</xdr:col>
      <xdr:colOff>75704</xdr:colOff>
      <xdr:row>8</xdr:row>
      <xdr:rowOff>116476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D9784D5-7968-48E8-6616-64E0BC1F815D}"/>
            </a:ext>
          </a:extLst>
        </xdr:cNvPr>
        <xdr:cNvSpPr txBox="1"/>
      </xdr:nvSpPr>
      <xdr:spPr>
        <a:xfrm>
          <a:off x="4604560" y="2290560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(5, 9)</a:t>
          </a:r>
        </a:p>
        <a:p>
          <a:pPr algn="ctr"/>
          <a:r>
            <a:rPr lang="en-US" sz="1100"/>
            <a:t>4</a:t>
          </a:r>
        </a:p>
      </xdr:txBody>
    </xdr:sp>
    <xdr:clientData/>
  </xdr:twoCellAnchor>
  <xdr:twoCellAnchor>
    <xdr:from>
      <xdr:col>1</xdr:col>
      <xdr:colOff>389399</xdr:colOff>
      <xdr:row>7</xdr:row>
      <xdr:rowOff>3628</xdr:rowOff>
    </xdr:from>
    <xdr:to>
      <xdr:col>3</xdr:col>
      <xdr:colOff>88713</xdr:colOff>
      <xdr:row>8</xdr:row>
      <xdr:rowOff>117867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2BA262B-9FE7-0701-B399-2CE794D29D23}"/>
            </a:ext>
          </a:extLst>
        </xdr:cNvPr>
        <xdr:cNvSpPr txBox="1"/>
      </xdr:nvSpPr>
      <xdr:spPr>
        <a:xfrm>
          <a:off x="993423" y="2291951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(5, 1)</a:t>
          </a:r>
        </a:p>
        <a:p>
          <a:pPr algn="ctr"/>
          <a:r>
            <a:rPr lang="en-US" sz="1100"/>
            <a:t>3</a:t>
          </a:r>
        </a:p>
      </xdr:txBody>
    </xdr:sp>
    <xdr:clientData/>
  </xdr:twoCellAnchor>
  <xdr:twoCellAnchor>
    <xdr:from>
      <xdr:col>14</xdr:col>
      <xdr:colOff>390808</xdr:colOff>
      <xdr:row>7</xdr:row>
      <xdr:rowOff>365113</xdr:rowOff>
    </xdr:from>
    <xdr:to>
      <xdr:col>16</xdr:col>
      <xdr:colOff>90122</xdr:colOff>
      <xdr:row>9</xdr:row>
      <xdr:rowOff>96028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0344870-0F5B-B28C-23BB-423A25D2D243}"/>
            </a:ext>
          </a:extLst>
        </xdr:cNvPr>
        <xdr:cNvSpPr txBox="1"/>
      </xdr:nvSpPr>
      <xdr:spPr>
        <a:xfrm>
          <a:off x="6884070" y="2653436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(6, 14)</a:t>
          </a:r>
        </a:p>
        <a:p>
          <a:pPr algn="ctr"/>
          <a:r>
            <a:rPr lang="en-US" sz="1100"/>
            <a:t>5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227222</xdr:colOff>
      <xdr:row>14</xdr:row>
      <xdr:rowOff>114528</xdr:rowOff>
    </xdr:from>
    <xdr:to>
      <xdr:col>6</xdr:col>
      <xdr:colOff>580792</xdr:colOff>
      <xdr:row>28</xdr:row>
      <xdr:rowOff>126463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23F216-CF4F-C16B-F1E1-8D137A6C4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103776"/>
      </a:accent1>
      <a:accent2>
        <a:srgbClr val="72EF15"/>
      </a:accent2>
      <a:accent3>
        <a:srgbClr val="FAB900"/>
      </a:accent3>
      <a:accent4>
        <a:srgbClr val="6DCEFF"/>
      </a:accent4>
      <a:accent5>
        <a:srgbClr val="EB6541"/>
      </a:accent5>
      <a:accent6>
        <a:srgbClr val="B0B0B0"/>
      </a:accent6>
      <a:hlink>
        <a:srgbClr val="0000C8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A0533-9AE0-4682-A42D-06B676CE8AA1}">
  <dimension ref="B3:Q18"/>
  <sheetViews>
    <sheetView showGridLines="0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0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0</v>
      </c>
      <c r="N7" s="2" t="s">
        <v>0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3" spans="2:17" x14ac:dyDescent="0.25">
      <c r="B13">
        <v>42</v>
      </c>
    </row>
    <row r="14" spans="2:17" x14ac:dyDescent="0.25">
      <c r="B14" s="1" t="s">
        <v>4</v>
      </c>
    </row>
    <row r="15" spans="2:17" x14ac:dyDescent="0.25">
      <c r="B15" s="1" t="s">
        <v>5</v>
      </c>
    </row>
    <row r="16" spans="2:17" x14ac:dyDescent="0.25">
      <c r="B16" s="1" t="s">
        <v>6</v>
      </c>
    </row>
    <row r="17" spans="2:2" x14ac:dyDescent="0.25">
      <c r="B17" s="1" t="s">
        <v>7</v>
      </c>
    </row>
    <row r="18" spans="2:2" x14ac:dyDescent="0.25">
      <c r="B18" s="1" t="s">
        <v>8</v>
      </c>
    </row>
  </sheetData>
  <conditionalFormatting sqref="A1:XFD1048576">
    <cfRule type="containsText" dxfId="9" priority="1" operator="containsText" text="@">
      <formula>NOT(ISERROR(SEARCH("@",A1)))</formula>
    </cfRule>
    <cfRule type="containsText" dxfId="8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1A2E-44DE-4A1D-A911-6B4802A7CAD5}">
  <dimension ref="B3:Q18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1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0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4" spans="2:17" x14ac:dyDescent="0.25">
      <c r="B14" s="1" t="s">
        <v>9</v>
      </c>
    </row>
    <row r="15" spans="2:17" x14ac:dyDescent="0.25">
      <c r="B15" s="1" t="s">
        <v>10</v>
      </c>
    </row>
    <row r="16" spans="2:17" x14ac:dyDescent="0.25">
      <c r="B16" s="1"/>
    </row>
    <row r="17" spans="2:2" x14ac:dyDescent="0.25">
      <c r="B17" s="1"/>
    </row>
    <row r="18" spans="2:2" x14ac:dyDescent="0.25">
      <c r="B18" s="1"/>
    </row>
  </sheetData>
  <conditionalFormatting sqref="A1:XFD1048576">
    <cfRule type="containsText" dxfId="7" priority="1" operator="containsText" text="@">
      <formula>NOT(ISERROR(SEARCH("@",A1)))</formula>
    </cfRule>
    <cfRule type="containsText" dxfId="6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86CF0-040B-48B7-80AC-9E44AD526E0D}">
  <dimension ref="B3:Q15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</row>
    <row r="11" spans="2:17" x14ac:dyDescent="0.25">
      <c r="B11" s="1" t="s">
        <v>11</v>
      </c>
    </row>
    <row r="12" spans="2:17" x14ac:dyDescent="0.25">
      <c r="B12" s="1" t="s">
        <v>12</v>
      </c>
    </row>
    <row r="13" spans="2:17" x14ac:dyDescent="0.25">
      <c r="B13" s="1" t="s">
        <v>13</v>
      </c>
    </row>
    <row r="14" spans="2:17" x14ac:dyDescent="0.25">
      <c r="B14" s="1"/>
    </row>
    <row r="15" spans="2:17" x14ac:dyDescent="0.25">
      <c r="B15" s="1"/>
    </row>
  </sheetData>
  <conditionalFormatting sqref="A1:XFD1048576">
    <cfRule type="containsText" dxfId="5" priority="1" operator="containsText" text="@">
      <formula>NOT(ISERROR(SEARCH("@",A1)))</formula>
    </cfRule>
    <cfRule type="containsText" dxfId="4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95A7-A5B8-48A6-AD95-6CB9C2E01E90}">
  <dimension ref="B3:Q17"/>
  <sheetViews>
    <sheetView showGridLines="0" zoomScale="82" workbookViewId="0">
      <selection activeCell="B14" sqref="B14"/>
    </sheetView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0</v>
      </c>
      <c r="D8" s="2" t="s">
        <v>2</v>
      </c>
      <c r="E8" s="2" t="s">
        <v>2</v>
      </c>
      <c r="F8" s="2" t="s">
        <v>2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0</v>
      </c>
    </row>
    <row r="9" spans="2:17" ht="30" customHeight="1" x14ac:dyDescent="0.25"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</row>
    <row r="12" spans="2:17" x14ac:dyDescent="0.25">
      <c r="B12" s="1" t="s">
        <v>28</v>
      </c>
      <c r="D12">
        <v>21</v>
      </c>
    </row>
    <row r="13" spans="2:17" x14ac:dyDescent="0.25">
      <c r="B13" s="1"/>
    </row>
    <row r="14" spans="2:17" x14ac:dyDescent="0.25">
      <c r="B14" s="1" t="s">
        <v>32</v>
      </c>
    </row>
    <row r="16" spans="2:17" x14ac:dyDescent="0.25">
      <c r="B16" t="s">
        <v>33</v>
      </c>
    </row>
    <row r="17" spans="2:2" x14ac:dyDescent="0.25">
      <c r="B17" t="s">
        <v>34</v>
      </c>
    </row>
  </sheetData>
  <conditionalFormatting sqref="A1:XFD1048576">
    <cfRule type="containsText" dxfId="3" priority="1" operator="containsText" text="@">
      <formula>NOT(ISERROR(SEARCH("@",A1)))</formula>
    </cfRule>
    <cfRule type="containsText" dxfId="2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C0D6-9D70-4555-9780-9A6C403070DA}">
  <dimension ref="B2:Q21"/>
  <sheetViews>
    <sheetView showGridLines="0" zoomScale="80" zoomScaleNormal="80" workbookViewId="0">
      <selection activeCell="B18" sqref="B18"/>
    </sheetView>
  </sheetViews>
  <sheetFormatPr defaultRowHeight="15" x14ac:dyDescent="0.25"/>
  <sheetData>
    <row r="2" spans="2:17" ht="30" customHeight="1" x14ac:dyDescent="0.25"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</row>
    <row r="3" spans="2:17" ht="30" customHeight="1" x14ac:dyDescent="0.25">
      <c r="B3" s="2" t="s">
        <v>0</v>
      </c>
      <c r="C3" s="2" t="s">
        <v>0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2</v>
      </c>
      <c r="I3" s="2" t="s">
        <v>2</v>
      </c>
      <c r="J3" s="2" t="s">
        <v>2</v>
      </c>
      <c r="K3" s="2" t="s">
        <v>2</v>
      </c>
      <c r="L3" s="2" t="s">
        <v>2</v>
      </c>
      <c r="M3" s="2" t="s">
        <v>2</v>
      </c>
      <c r="N3" s="2" t="s">
        <v>2</v>
      </c>
      <c r="O3" s="2" t="s">
        <v>2</v>
      </c>
      <c r="P3" s="2" t="s">
        <v>2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3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2</v>
      </c>
      <c r="I5" s="2" t="s">
        <v>2</v>
      </c>
      <c r="J5" s="2" t="s">
        <v>2</v>
      </c>
      <c r="K5" s="2" t="s">
        <v>2</v>
      </c>
      <c r="L5" s="2" t="s">
        <v>2</v>
      </c>
      <c r="M5" s="2" t="s">
        <v>2</v>
      </c>
      <c r="N5" s="2" t="s">
        <v>2</v>
      </c>
      <c r="O5" s="2" t="s">
        <v>2</v>
      </c>
      <c r="P5" s="2" t="s">
        <v>2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2</v>
      </c>
      <c r="P6" s="2" t="s">
        <v>0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</row>
    <row r="10" spans="2:17" x14ac:dyDescent="0.25">
      <c r="B10" s="11" t="s">
        <v>28</v>
      </c>
      <c r="D10">
        <v>19</v>
      </c>
    </row>
    <row r="12" spans="2:17" x14ac:dyDescent="0.25">
      <c r="B12" t="s">
        <v>22</v>
      </c>
    </row>
    <row r="13" spans="2:17" x14ac:dyDescent="0.25">
      <c r="B13" t="s">
        <v>23</v>
      </c>
    </row>
    <row r="14" spans="2:17" x14ac:dyDescent="0.25">
      <c r="B14" t="s">
        <v>24</v>
      </c>
    </row>
    <row r="15" spans="2:17" x14ac:dyDescent="0.25">
      <c r="B15" t="s">
        <v>25</v>
      </c>
    </row>
    <row r="17" spans="2:2" x14ac:dyDescent="0.25">
      <c r="B17" t="s">
        <v>29</v>
      </c>
    </row>
    <row r="18" spans="2:2" x14ac:dyDescent="0.25">
      <c r="B18" t="s">
        <v>30</v>
      </c>
    </row>
    <row r="20" spans="2:2" x14ac:dyDescent="0.25">
      <c r="B20" t="s">
        <v>27</v>
      </c>
    </row>
    <row r="21" spans="2:2" x14ac:dyDescent="0.25">
      <c r="B21" t="s">
        <v>26</v>
      </c>
    </row>
  </sheetData>
  <conditionalFormatting sqref="A2:XFD7 B10">
    <cfRule type="containsText" dxfId="1" priority="1" operator="containsText" text="@">
      <formula>NOT(ISERROR(SEARCH("@",A2)))</formula>
    </cfRule>
    <cfRule type="containsText" dxfId="0" priority="2" operator="containsText" text="#">
      <formula>NOT(ISERROR(SEARCH("#",A2)))</formula>
    </cfRule>
  </conditionalFormatting>
  <pageMargins left="0.7" right="0.7" top="0.75" bottom="0.75" header="0.3" footer="0.3"/>
  <customProperties>
    <customPr name="UniqueName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98209-E298-4739-A7EC-F76912A257FC}">
  <dimension ref="B2:G12"/>
  <sheetViews>
    <sheetView showGridLines="0" tabSelected="1" zoomScale="123" zoomScaleNormal="123" workbookViewId="0">
      <selection activeCell="D2" sqref="D2"/>
    </sheetView>
  </sheetViews>
  <sheetFormatPr defaultRowHeight="15" x14ac:dyDescent="0.25"/>
  <cols>
    <col min="1" max="1" width="2.7109375" customWidth="1"/>
    <col min="2" max="2" width="12.140625" bestFit="1" customWidth="1"/>
    <col min="3" max="3" width="13.28515625" bestFit="1" customWidth="1"/>
    <col min="4" max="4" width="14.28515625" bestFit="1" customWidth="1"/>
    <col min="6" max="6" width="11.140625" bestFit="1" customWidth="1"/>
  </cols>
  <sheetData>
    <row r="2" spans="2:7" ht="17.25" x14ac:dyDescent="0.4">
      <c r="B2" s="4" t="s">
        <v>36</v>
      </c>
      <c r="C2" s="5" t="s">
        <v>17</v>
      </c>
      <c r="D2" s="6" t="s">
        <v>37</v>
      </c>
      <c r="E2" s="13"/>
      <c r="F2" s="6" t="s">
        <v>18</v>
      </c>
      <c r="G2" s="6"/>
    </row>
    <row r="3" spans="2:7" s="9" customFormat="1" x14ac:dyDescent="0.25">
      <c r="B3" s="7"/>
      <c r="C3" s="7"/>
      <c r="D3" s="8" t="s">
        <v>35</v>
      </c>
      <c r="E3" s="8" t="s">
        <v>20</v>
      </c>
      <c r="F3" s="8" t="s">
        <v>35</v>
      </c>
      <c r="G3" s="8" t="s">
        <v>21</v>
      </c>
    </row>
    <row r="4" spans="2:7" x14ac:dyDescent="0.25">
      <c r="B4" t="s">
        <v>14</v>
      </c>
      <c r="C4" s="3">
        <v>5</v>
      </c>
      <c r="D4" s="12">
        <v>0.13</v>
      </c>
      <c r="E4" s="14">
        <f t="shared" ref="E4:E12" si="0">2^C4</f>
        <v>32</v>
      </c>
      <c r="F4" s="3"/>
      <c r="G4" s="10">
        <f t="shared" ref="G4:G10" si="1">+FACT(C4)</f>
        <v>120</v>
      </c>
    </row>
    <row r="5" spans="2:7" x14ac:dyDescent="0.25">
      <c r="B5" t="s">
        <v>15</v>
      </c>
      <c r="C5" s="3">
        <v>5</v>
      </c>
      <c r="D5" s="12">
        <v>1.1339999999999999</v>
      </c>
      <c r="E5" s="14">
        <f t="shared" si="0"/>
        <v>32</v>
      </c>
      <c r="F5" s="3"/>
      <c r="G5" s="10">
        <f t="shared" si="1"/>
        <v>120</v>
      </c>
    </row>
    <row r="6" spans="2:7" x14ac:dyDescent="0.25">
      <c r="C6" s="3">
        <v>8</v>
      </c>
      <c r="D6" s="12"/>
      <c r="E6" s="14">
        <f t="shared" si="0"/>
        <v>256</v>
      </c>
      <c r="F6" s="3"/>
      <c r="G6" s="10">
        <f t="shared" si="1"/>
        <v>40320</v>
      </c>
    </row>
    <row r="7" spans="2:7" x14ac:dyDescent="0.25">
      <c r="C7" s="3">
        <v>10</v>
      </c>
      <c r="D7" s="12"/>
      <c r="E7" s="14">
        <f t="shared" si="0"/>
        <v>1024</v>
      </c>
      <c r="F7" s="3"/>
      <c r="G7" s="10">
        <f t="shared" si="1"/>
        <v>3628800</v>
      </c>
    </row>
    <row r="8" spans="2:7" x14ac:dyDescent="0.25">
      <c r="C8" s="3">
        <v>12</v>
      </c>
      <c r="D8" s="12"/>
      <c r="E8" s="14">
        <f t="shared" si="0"/>
        <v>4096</v>
      </c>
      <c r="F8" s="3"/>
      <c r="G8" s="10">
        <f t="shared" si="1"/>
        <v>479001600</v>
      </c>
    </row>
    <row r="9" spans="2:7" x14ac:dyDescent="0.25">
      <c r="C9" s="3">
        <v>16</v>
      </c>
      <c r="D9" s="12"/>
      <c r="E9" s="14">
        <f t="shared" si="0"/>
        <v>65536</v>
      </c>
      <c r="F9" s="3"/>
      <c r="G9" s="10">
        <f t="shared" si="1"/>
        <v>20922789888000</v>
      </c>
    </row>
    <row r="10" spans="2:7" x14ac:dyDescent="0.25">
      <c r="B10" t="s">
        <v>16</v>
      </c>
      <c r="C10" s="3">
        <v>18</v>
      </c>
      <c r="D10" s="12">
        <v>14.199</v>
      </c>
      <c r="E10" s="14">
        <f t="shared" si="0"/>
        <v>262144</v>
      </c>
      <c r="F10" s="3"/>
      <c r="G10" s="10">
        <f t="shared" si="1"/>
        <v>6402373705728000</v>
      </c>
    </row>
    <row r="11" spans="2:7" x14ac:dyDescent="0.25">
      <c r="B11" t="s">
        <v>31</v>
      </c>
      <c r="C11" s="3">
        <v>19</v>
      </c>
      <c r="D11" s="12">
        <v>33.843000000000004</v>
      </c>
      <c r="E11" s="14">
        <f t="shared" si="0"/>
        <v>524288</v>
      </c>
      <c r="G11" s="10">
        <f t="shared" ref="G11" si="2">+FACT(C11)</f>
        <v>1.21645100408832E+17</v>
      </c>
    </row>
    <row r="12" spans="2:7" x14ac:dyDescent="0.25">
      <c r="B12" t="s">
        <v>19</v>
      </c>
      <c r="C12" s="3">
        <v>21</v>
      </c>
      <c r="D12" s="12">
        <f>2*60+53.068</f>
        <v>173.06799999999998</v>
      </c>
      <c r="E12" s="14">
        <f t="shared" si="0"/>
        <v>2097152</v>
      </c>
      <c r="G12" s="10">
        <f>+FACT(C12)</f>
        <v>5.109094217170944E+19</v>
      </c>
    </row>
  </sheetData>
  <pageMargins left="0.7" right="0.7" top="0.75" bottom="0.75" header="0.3" footer="0.3"/>
  <pageSetup orientation="portrait" horizontalDpi="1200" verticalDpi="1200" r:id="rId1"/>
  <customProperties>
    <customPr name="UniqueName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test_input_1</vt:lpstr>
      <vt:lpstr>test_input_2</vt:lpstr>
      <vt:lpstr>test_input_3</vt:lpstr>
      <vt:lpstr>test_input_4</vt:lpstr>
      <vt:lpstr>test_input_5</vt:lpstr>
      <vt:lpstr>Time_Complexity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sheil</dc:creator>
  <cp:lastModifiedBy>sheil</cp:lastModifiedBy>
  <dcterms:created xsi:type="dcterms:W3CDTF">2023-04-20T12:12:05Z</dcterms:created>
  <dcterms:modified xsi:type="dcterms:W3CDTF">2023-04-28T11:22:38Z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{8D29C589-E1D0-47C7-B29E-02917349CD47}</vt:lpwstr>
  </property>
</Properties>
</file>