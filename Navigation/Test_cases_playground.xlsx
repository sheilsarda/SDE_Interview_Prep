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ustomProperty2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B72AA342-5F4D-4733-9FFF-84B9FD3C433D}" xr6:coauthVersionLast="47" xr6:coauthVersionMax="47" xr10:uidLastSave="{00000000-0000-0000-0000-000000000000}"/>
  <bookViews>
    <workbookView xWindow="810" yWindow="-120" windowWidth="28110" windowHeight="16440" activeTab="4" xr2:uid="{144D234B-9EDF-4C60-BA78-862FC813572B}"/>
  </bookViews>
  <sheets>
    <sheet name="test_input_1" sheetId="1" r:id="rId1"/>
    <sheet name="test_input_2" sheetId="2" r:id="rId2"/>
    <sheet name="test_input_3" sheetId="3" r:id="rId3"/>
    <sheet name="test_input_4" sheetId="5" r:id="rId4"/>
    <sheet name="Time_Complexity" sheetId="4" r:id="rId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H6" i="4"/>
  <c r="H7" i="4"/>
  <c r="H4" i="4"/>
  <c r="G5" i="4"/>
  <c r="G6" i="4"/>
  <c r="G7" i="4"/>
  <c r="G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<sst xmlns="http://schemas.openxmlformats.org/spreadsheetml/2006/main" count="471" uniqueCount="24">
  <si>
    <t>#</t>
  </si>
  <si>
    <t>.</t>
  </si>
  <si>
    <t>@</t>
  </si>
  <si>
    <t>x</t>
  </si>
  <si>
    <t>1,6</t>
  </si>
  <si>
    <t>1,12</t>
  </si>
  <si>
    <t>6,14</t>
  </si>
  <si>
    <t>5,9</t>
  </si>
  <si>
    <t>5,1</t>
  </si>
  <si>
    <t>Min path length found:  50</t>
  </si>
  <si>
    <t>Min Path permuation:  ((1, 6), (1, 12), (6, 14), (5, 9), (5, 1))</t>
  </si>
  <si>
    <t>Min path length found:  39</t>
  </si>
  <si>
    <t>[[ 1  1  1  1  1  1  1  1  1  3  3  3  3  3  3  3  3  3]</t>
  </si>
  <si>
    <t xml:space="preserve"> [14 13 12 11 10  9  8  7  6  6  7  8  9 10 11 12 13 14]]</t>
  </si>
  <si>
    <t>test_input_1</t>
  </si>
  <si>
    <t>test_input_2</t>
  </si>
  <si>
    <t>test_input_3</t>
  </si>
  <si>
    <t># of Avocados</t>
  </si>
  <si>
    <t>Runtime (secs)</t>
  </si>
  <si>
    <t>Held-Karp</t>
  </si>
  <si>
    <t>Brute Force</t>
  </si>
  <si>
    <t>test_input_4</t>
  </si>
  <si>
    <t>2^n</t>
  </si>
  <si>
    <t>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</si>
</sst>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FFFF"/>
      <name val="Calibri"/>
      <family val="2"/>
      <scheme val="minor"/>
    </font>
    <font>
      <b/>
      <u val="singleAccounting"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62C53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Continuous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0" fontId="6" fillId="0" borderId="0" xfId="0" applyFont="1"/>
    <xf numFmtId="11" fontId="0" fillId="0" borderId="0" xfId="0" applyNumberFormat="1"/>
  </cellXfs>
  <cellStyles count="1">
    <cellStyle name="Normal" xfId="0" builtinId="0"/>
  </cellStyles>
  <dxfs count="8"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Time_Complexity!$C$4:$C$7</c:f>
              <c:numCache>
                <c:formatCode>General</c:formatCode>
                <c:ptCount val="4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36</c:v>
                </c:pt>
              </c:numCache>
            </c:numRef>
          </c:xVal>
          <c:yVal>
            <c:numRef>
              <c:f>Time_Complexity!$D$4:$D$7</c:f>
              <c:numCache>
                <c:formatCode>General</c:formatCode>
                <c:ptCount val="4"/>
                <c:pt idx="0">
                  <c:v>0.372</c:v>
                </c:pt>
                <c:pt idx="1">
                  <c:v>1.131</c:v>
                </c:pt>
                <c:pt idx="2">
                  <c:v>13.303000000000001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F1-4DAE-AEDC-A1A74BCD0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0951423"/>
        <c:axId val="2100958623"/>
      </c:scatterChart>
      <c:valAx>
        <c:axId val="210095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958623"/>
        <c:crosses val="autoZero"/>
        <c:crossBetween val="midCat"/>
      </c:valAx>
      <c:valAx>
        <c:axId val="210095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951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Time_Complexity!$C$4:$C$7</c:f>
              <c:numCache>
                <c:formatCode>General</c:formatCode>
                <c:ptCount val="4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36</c:v>
                </c:pt>
              </c:numCache>
            </c:numRef>
          </c:xVal>
          <c:yVal>
            <c:numRef>
              <c:f>Time_Complexity!$D$4:$D$7</c:f>
              <c:numCache>
                <c:formatCode>General</c:formatCode>
                <c:ptCount val="4"/>
                <c:pt idx="0">
                  <c:v>0.372</c:v>
                </c:pt>
                <c:pt idx="1">
                  <c:v>1.131</c:v>
                </c:pt>
                <c:pt idx="2">
                  <c:v>13.303000000000001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56-49CE-8731-5E8950E041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522543"/>
        <c:axId val="1996520143"/>
      </c:scatterChart>
      <c:valAx>
        <c:axId val="199652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6520143"/>
        <c:crosses val="autoZero"/>
        <c:crossBetween val="midCat"/>
      </c:valAx>
      <c:valAx>
        <c:axId val="199652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652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Time_Complexity!$C$4:$C$7</c:f>
              <c:numCache>
                <c:formatCode>General</c:formatCode>
                <c:ptCount val="4"/>
                <c:pt idx="0">
                  <c:v>5</c:v>
                </c:pt>
                <c:pt idx="1">
                  <c:v>5</c:v>
                </c:pt>
                <c:pt idx="2">
                  <c:v>18</c:v>
                </c:pt>
                <c:pt idx="3">
                  <c:v>36</c:v>
                </c:pt>
              </c:numCache>
            </c:numRef>
          </c:xVal>
          <c:yVal>
            <c:numRef>
              <c:f>Time_Complexity!$D$4:$D$7</c:f>
              <c:numCache>
                <c:formatCode>General</c:formatCode>
                <c:ptCount val="4"/>
                <c:pt idx="0">
                  <c:v>0.372</c:v>
                </c:pt>
                <c:pt idx="1">
                  <c:v>1.131</c:v>
                </c:pt>
                <c:pt idx="2">
                  <c:v>13.303000000000001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0A-4E11-9B74-9D8F065B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021183"/>
        <c:axId val="1997026463"/>
      </c:scatterChart>
      <c:valAx>
        <c:axId val="199702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26463"/>
        <c:crosses val="autoZero"/>
        <c:crossBetween val="midCat"/>
      </c:valAx>
      <c:valAx>
        <c:axId val="1997026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2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323850</xdr:colOff>
      <xdr:row>14</xdr:row>
      <xdr:rowOff>71437</xdr:rowOff>
    </xdr:from>
    <xdr:to>
      <xdr:col>17</xdr:col>
      <xdr:colOff>19050</xdr:colOff>
      <xdr:row>28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D3FDFB4-E8EA-398F-D017-40FCB8DAA2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413558</xdr:colOff>
      <xdr:row>10</xdr:row>
      <xdr:rowOff>57842</xdr:rowOff>
    </xdr:from>
    <xdr:to>
      <xdr:col>14</xdr:col>
      <xdr:colOff>108758</xdr:colOff>
      <xdr:row>24</xdr:row>
      <xdr:rowOff>134042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3C03AD-E847-348D-1ABE-E9F7007B43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372717</xdr:colOff>
      <xdr:row>12</xdr:row>
      <xdr:rowOff>24019</xdr:rowOff>
    </xdr:from>
    <xdr:to>
      <xdr:col>15</xdr:col>
      <xdr:colOff>41413</xdr:colOff>
      <xdr:row>26</xdr:row>
      <xdr:rowOff>100219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244451-0FB6-747A-61F0-D1EDDC477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0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0</v>
      </c>
      <c r="N7" s="2" t="s">
        <v>0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3" spans="2:17" x14ac:dyDescent="0.25">
      <c r="B13">
        <v>42</v>
      </c>
    </row>
    <row r="14" spans="2:17" x14ac:dyDescent="0.25">
      <c r="B14" s="1" t="s">
        <v>4</v>
      </c>
    </row>
    <row r="15" spans="2:17" x14ac:dyDescent="0.25">
      <c r="B15" s="1" t="s">
        <v>5</v>
      </c>
    </row>
    <row r="16" spans="2:17" x14ac:dyDescent="0.25">
      <c r="B16" s="1" t="s">
        <v>6</v>
      </c>
    </row>
    <row r="17" spans="2:2" x14ac:dyDescent="0.25">
      <c r="B17" s="1" t="s">
        <v>7</v>
      </c>
    </row>
    <row r="18" spans="2:2" x14ac:dyDescent="0.25">
      <c r="B18" s="1" t="s">
        <v>8</v>
      </c>
    </row>
  </sheetData>
  <conditionalFormatting sqref="A1:XFD1048576">
    <cfRule type="containsText" dxfId="7" priority="1" operator="containsText" text="@">
      <formula>NOT(ISERROR(SEARCH("@",A1)))</formula>
    </cfRule>
    <cfRule type="containsText" dxfId="6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0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4" spans="2:17" x14ac:dyDescent="0.25">
      <c r="B14" s="1" t="s">
        <v>9</v>
      </c>
    </row>
    <row r="15" spans="2:17" x14ac:dyDescent="0.25">
      <c r="B15" s="1" t="s">
        <v>10</v>
      </c>
    </row>
    <row r="16" spans="2:17" x14ac:dyDescent="0.25">
      <c r="B16" s="1"/>
    </row>
    <row r="17" spans="2:2" x14ac:dyDescent="0.25">
      <c r="B17" s="1"/>
    </row>
    <row r="18" spans="2:2" x14ac:dyDescent="0.25">
      <c r="B18" s="1"/>
    </row>
  </sheetData>
  <conditionalFormatting sqref="A1:XFD1048576">
    <cfRule type="containsText" dxfId="5" priority="1" operator="containsText" text="@">
      <formula>NOT(ISERROR(SEARCH("@",A1)))</formula>
    </cfRule>
    <cfRule type="containsText" dxfId="4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6CF0-040B-48B7-80AC-9E44AD526E0D}">
  <dimension ref="B3:Q15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1" spans="2:17" x14ac:dyDescent="0.25">
      <c r="B11" s="1" t="s">
        <v>11</v>
      </c>
    </row>
    <row r="12" spans="2:17" x14ac:dyDescent="0.25">
      <c r="B12" s="1" t="s">
        <v>12</v>
      </c>
    </row>
    <row r="13" spans="2:17" x14ac:dyDescent="0.25">
      <c r="B13" s="1" t="s">
        <v>13</v>
      </c>
    </row>
    <row r="14" spans="2:17" x14ac:dyDescent="0.25">
      <c r="B14" s="1"/>
    </row>
    <row r="15" spans="2:17" x14ac:dyDescent="0.25">
      <c r="B15" s="1"/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095A7-A5B8-48A6-AD95-6CB9C2E01E90}">
  <dimension ref="B3:Q17"/>
  <sheetViews>
    <sheetView showGridLines="0" zoomScale="82" workbookViewId="0">
      <selection activeCell="D13" sqref="D13"/>
    </sheetView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2</v>
      </c>
      <c r="I7" s="2" t="s">
        <v>2</v>
      </c>
      <c r="J7" s="2" t="s">
        <v>2</v>
      </c>
      <c r="K7" s="2" t="s">
        <v>2</v>
      </c>
      <c r="L7" s="2" t="s">
        <v>2</v>
      </c>
      <c r="M7" s="2" t="s">
        <v>2</v>
      </c>
      <c r="N7" s="2" t="s">
        <v>2</v>
      </c>
      <c r="O7" s="2" t="s">
        <v>2</v>
      </c>
      <c r="P7" s="2" t="s">
        <v>2</v>
      </c>
      <c r="Q7" s="2" t="s">
        <v>0</v>
      </c>
    </row>
    <row r="8" spans="2:17" ht="30" customHeight="1" x14ac:dyDescent="0.25">
      <c r="B8" s="2" t="s">
        <v>0</v>
      </c>
      <c r="C8" s="2" t="s">
        <v>0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2</v>
      </c>
      <c r="I8" s="2" t="s">
        <v>2</v>
      </c>
      <c r="J8" s="2" t="s">
        <v>2</v>
      </c>
      <c r="K8" s="2" t="s">
        <v>2</v>
      </c>
      <c r="L8" s="2" t="s">
        <v>2</v>
      </c>
      <c r="M8" s="2" t="s">
        <v>2</v>
      </c>
      <c r="N8" s="2" t="s">
        <v>2</v>
      </c>
      <c r="O8" s="2" t="s">
        <v>2</v>
      </c>
      <c r="P8" s="2" t="s">
        <v>2</v>
      </c>
      <c r="Q8" s="2" t="s">
        <v>0</v>
      </c>
    </row>
    <row r="9" spans="2:17" ht="30" customHeight="1" x14ac:dyDescent="0.25"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</row>
    <row r="13" spans="2:17" x14ac:dyDescent="0.25">
      <c r="B13" s="1" t="s">
        <v>11</v>
      </c>
    </row>
    <row r="14" spans="2:17" x14ac:dyDescent="0.25">
      <c r="B14" s="1" t="s">
        <v>12</v>
      </c>
    </row>
    <row r="15" spans="2:17" x14ac:dyDescent="0.25">
      <c r="B15" s="1" t="s">
        <v>13</v>
      </c>
    </row>
    <row r="16" spans="2:17" x14ac:dyDescent="0.25">
      <c r="B16" s="1"/>
    </row>
    <row r="17" spans="2:2" x14ac:dyDescent="0.25">
      <c r="B17" s="1"/>
    </row>
  </sheetData>
  <conditionalFormatting sqref="A1:XFD1048576">
    <cfRule type="containsText" dxfId="1" priority="1" operator="containsText" text="@">
      <formula>NOT(ISERROR(SEARCH("@",A1)))</formula>
    </cfRule>
    <cfRule type="containsText" dxfId="0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98209-E298-4739-A7EC-F76912A257FC}">
  <dimension ref="B2:H7"/>
  <sheetViews>
    <sheetView showGridLines="0" tabSelected="1" zoomScale="115" zoomScaleNormal="115" workbookViewId="0">
      <selection activeCell="C4" sqref="C4:D7"/>
    </sheetView>
  </sheetViews>
  <sheetFormatPr defaultRowHeight="15" x14ac:dyDescent="0.25"/>
  <cols>
    <col min="1" max="1" width="2.7109375" customWidth="1"/>
    <col min="2" max="2" width="12.140625" bestFit="1" customWidth="1"/>
    <col min="3" max="3" width="13.28515625" bestFit="1" customWidth="1"/>
    <col min="4" max="4" width="14.28515625" bestFit="1" customWidth="1"/>
    <col min="5" max="5" width="11.140625" bestFit="1" customWidth="1"/>
  </cols>
  <sheetData>
    <row r="2" spans="2:8" ht="17.25" x14ac:dyDescent="0.4">
      <c r="B2" s="4"/>
      <c r="C2" s="5" t="s">
        <v>17</v>
      </c>
      <c r="D2" s="6" t="s">
        <v>18</v>
      </c>
      <c r="E2" s="6"/>
      <c r="G2" t="s">
        <v>22</v>
      </c>
      <c r="H2" t="s">
        <v>23</v>
      </c>
    </row>
    <row r="3" spans="2:8" s="9" customFormat="1" x14ac:dyDescent="0.25">
      <c r="B3" s="7"/>
      <c r="C3" s="7"/>
      <c r="D3" s="8" t="s">
        <v>19</v>
      </c>
      <c r="E3" s="8" t="s">
        <v>20</v>
      </c>
    </row>
    <row r="4" spans="2:8" x14ac:dyDescent="0.25">
      <c r="B4" t="s">
        <v>14</v>
      </c>
      <c r="C4" s="3">
        <v>5</v>
      </c>
      <c r="D4" s="3">
        <v>0.372</v>
      </c>
      <c r="E4" s="3"/>
      <c r="G4" s="10">
        <f>2^C4</f>
        <v>32</v>
      </c>
      <c r="H4" s="10">
        <f>+FACT(C4)</f>
        <v>120</v>
      </c>
    </row>
    <row r="5" spans="2:8" x14ac:dyDescent="0.25">
      <c r="B5" t="s">
        <v>15</v>
      </c>
      <c r="C5" s="3">
        <v>5</v>
      </c>
      <c r="D5" s="3">
        <v>1.131</v>
      </c>
      <c r="E5" s="3">
        <v>0.159</v>
      </c>
      <c r="G5" s="10">
        <f t="shared" ref="G5:G7" si="0">2^C5</f>
        <v>32</v>
      </c>
      <c r="H5" s="10">
        <f t="shared" ref="H5:H7" si="1">+FACT(C5)</f>
        <v>120</v>
      </c>
    </row>
    <row r="6" spans="2:8" x14ac:dyDescent="0.25">
      <c r="B6" t="s">
        <v>16</v>
      </c>
      <c r="C6" s="3">
        <v>18</v>
      </c>
      <c r="D6" s="3">
        <v>13.303000000000001</v>
      </c>
      <c r="E6" s="3"/>
      <c r="G6" s="10">
        <f t="shared" si="0"/>
        <v>262144</v>
      </c>
      <c r="H6" s="10">
        <f t="shared" si="1"/>
        <v>6402373705728000</v>
      </c>
    </row>
    <row r="7" spans="2:8" x14ac:dyDescent="0.25">
      <c r="B7" t="s">
        <v>21</v>
      </c>
      <c r="C7" s="3">
        <v>36</v>
      </c>
      <c r="G7" s="10">
        <f t="shared" si="0"/>
        <v>68719476736</v>
      </c>
      <c r="H7" s="10">
        <f t="shared" si="1"/>
        <v>3.7199332678990133E+41</v>
      </c>
    </row>
  </sheetData>
  <pageMargins left="0.7" right="0.7" top="0.75" bottom="0.75" header="0.3" footer="0.3"/>
  <pageSetup orientation="portrait" horizontalDpi="1200" verticalDpi="1200" r:id="rId1"/>
  <customProperties>
    <customPr name="UniqueName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test_input_1</vt:lpstr>
      <vt:lpstr>test_input_2</vt:lpstr>
      <vt:lpstr>test_input_3</vt:lpstr>
      <vt:lpstr>test_input_4</vt:lpstr>
      <vt:lpstr>Time_Complexity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2023-04-27T08:49:30Z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